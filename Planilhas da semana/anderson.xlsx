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<sst xmlns="http://schemas.openxmlformats.org/spreadsheetml/2006/main" count="57" uniqueCount="56">
  <si>
    <t xml:space="preserve">Produtos mais Vendidos</t>
  </si>
  <si>
    <t xml:space="preserve">Filtros</t>
  </si>
  <si>
    <t xml:space="preserve">Períodos</t>
  </si>
  <si>
    <t xml:space="preserve">01/10/2026 a 18/10/2026</t>
  </si>
  <si>
    <t xml:space="preserve">Agrupado por categoria</t>
  </si>
  <si>
    <t xml:space="preserve">Sim</t>
  </si>
  <si>
    <t xml:space="preserve">Exibir valores com impostos</t>
  </si>
  <si>
    <t xml:space="preserve">Não</t>
  </si>
  <si>
    <t xml:space="preserve">Vendas do usuário</t>
  </si>
  <si>
    <t xml:space="preserve">ANDERSON ALTIERI DE SOUZA</t>
  </si>
  <si>
    <t xml:space="preserve">Categorias e Produtos</t>
  </si>
  <si>
    <t xml:space="preserve">Valor vendido</t>
  </si>
  <si>
    <t xml:space="preserve">[Categoria] 3M</t>
  </si>
  <si>
    <t xml:space="preserve">[Categoria] ADERE</t>
  </si>
  <si>
    <t xml:space="preserve">[Categoria] AMANCO</t>
  </si>
  <si>
    <t xml:space="preserve">[Categoria] ARAMES</t>
  </si>
  <si>
    <t xml:space="preserve">[Categoria] ATCO</t>
  </si>
  <si>
    <t xml:space="preserve">[Categoria] ATLAS</t>
  </si>
  <si>
    <t xml:space="preserve">[Categoria] BRASCOLA</t>
  </si>
  <si>
    <t xml:space="preserve">[Categoria] BRASILIT</t>
  </si>
  <si>
    <t xml:space="preserve">[Categoria] CHEMICOLOR</t>
  </si>
  <si>
    <t xml:space="preserve">[Categoria] CORTAG</t>
  </si>
  <si>
    <t xml:space="preserve">[Categoria] DUREPOXI</t>
  </si>
  <si>
    <t xml:space="preserve">[Categoria] EMPALUX</t>
  </si>
  <si>
    <t xml:space="preserve">[Categoria] ENERBRAS</t>
  </si>
  <si>
    <t xml:space="preserve">[Categoria] HENKEL</t>
  </si>
  <si>
    <t xml:space="preserve">[Categoria] HITSCOLOR</t>
  </si>
  <si>
    <t xml:space="preserve">[Categoria] ILUMI</t>
  </si>
  <si>
    <t xml:space="preserve">[Categoria] IMPERIO</t>
  </si>
  <si>
    <t xml:space="preserve">[Categoria] IRWIN</t>
  </si>
  <si>
    <t xml:space="preserve">[Categoria] KF</t>
  </si>
  <si>
    <t xml:space="preserve">[Categoria] LIXAFLEX</t>
  </si>
  <si>
    <t xml:space="preserve">[Categoria] LORENSID</t>
  </si>
  <si>
    <t xml:space="preserve">[Categoria] LORENZETTI</t>
  </si>
  <si>
    <t xml:space="preserve">[Categoria] LS</t>
  </si>
  <si>
    <t xml:space="preserve">[Categoria] MAR-GIRIUS</t>
  </si>
  <si>
    <t xml:space="preserve">[Categoria] MEGATRON</t>
  </si>
  <si>
    <t xml:space="preserve">[Categoria] MULTILIT</t>
  </si>
  <si>
    <t xml:space="preserve">[Categoria] OTTO</t>
  </si>
  <si>
    <t xml:space="preserve">[Categoria] OUTLET</t>
  </si>
  <si>
    <t xml:space="preserve">[Categoria] PADO</t>
  </si>
  <si>
    <t xml:space="preserve">[Categoria] PHILIPS</t>
  </si>
  <si>
    <t xml:space="preserve">[Categoria] PILA</t>
  </si>
  <si>
    <t xml:space="preserve">[Categoria] QUARTZOLIT</t>
  </si>
  <si>
    <t xml:space="preserve">[Categoria] RAJIX</t>
  </si>
  <si>
    <t xml:space="preserve">[Categoria] SAMPAFLEX</t>
  </si>
  <si>
    <t xml:space="preserve">[Categoria] SOPRANO</t>
  </si>
  <si>
    <t xml:space="preserve">[Categoria] STARRET</t>
  </si>
  <si>
    <t xml:space="preserve">[Categoria] TATU LIXAS</t>
  </si>
  <si>
    <t xml:space="preserve">[Categoria] TEK BOND</t>
  </si>
  <si>
    <t xml:space="preserve">[Categoria] TIGRE</t>
  </si>
  <si>
    <t xml:space="preserve">[Categoria] VENTI DELTA</t>
  </si>
  <si>
    <t xml:space="preserve">[Categoria] VOTORAN</t>
  </si>
  <si>
    <t xml:space="preserve">[Categoria] WAGO</t>
  </si>
  <si>
    <t xml:space="preserve">[Categoria] ZAGONEL</t>
  </si>
  <si>
    <t xml:space="preserve">Total geral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</si>
</sst>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0" t="s">
        <v>2</v>
      </c>
      <c r="B4" s="0" t="s">
        <v>3</v>
      </c>
    </row>
    <row r="5" customFormat="false" ht="15" hidden="false" customHeight="false" outlineLevel="0" collapsed="false">
      <c r="A5" s="0" t="s">
        <v>4</v>
      </c>
      <c r="B5" s="0" t="s">
        <v>5</v>
      </c>
    </row>
    <row r="6" customFormat="false" ht="15" hidden="false" customHeight="false" outlineLevel="0" collapsed="false">
      <c r="A6" s="0" t="s">
        <v>6</v>
      </c>
      <c r="B6" s="0" t="s">
        <v>7</v>
      </c>
    </row>
    <row r="7" customFormat="false" ht="15" hidden="false" customHeight="false" outlineLevel="0" collapsed="false">
      <c r="A7" s="0" t="s">
        <v>8</v>
      </c>
      <c r="B7" s="0" t="s">
        <v>9</v>
      </c>
    </row>
    <row r="9" customFormat="false" ht="15" hidden="false" customHeight="false" outlineLevel="0" collapsed="false">
      <c r="B9" s="2" t="s">
        <v>3</v>
      </c>
    </row>
    <row r="10" customFormat="false" ht="15" hidden="false" customHeight="false" outlineLevel="0" collapsed="false">
      <c r="A10" s="1" t="s">
        <v>10</v>
      </c>
      <c r="B10" s="1" t="s">
        <v>11</v>
      </c>
    </row>
    <row r="11" customFormat="false" ht="15" hidden="false" customHeight="false" outlineLevel="0" collapsed="false">
      <c r="A11" s="0" t="s">
        <v>12</v>
      </c>
      <c r="B11" s="3" t="n">
        <v>901.39</v>
      </c>
    </row>
    <row r="12" customFormat="false" ht="15" hidden="false" customHeight="false" outlineLevel="0" collapsed="false">
      <c r="A12" s="0" t="s">
        <v>13</v>
      </c>
      <c r="B12" s="3" t="n">
        <v>261.14</v>
      </c>
    </row>
    <row r="13" customFormat="false" ht="15" hidden="false" customHeight="false" outlineLevel="0" collapsed="false">
      <c r="A13" s="0" t="s">
        <v>14</v>
      </c>
      <c r="B13" s="3" t="n">
        <f aca="false">6381.17+7871.52</f>
        <v>14252.69</v>
      </c>
    </row>
    <row r="14" customFormat="false" ht="15" hidden="false" customHeight="false" outlineLevel="0" collapsed="false">
      <c r="A14" s="0" t="s">
        <v>15</v>
      </c>
      <c r="B14" s="3" t="n">
        <v>396</v>
      </c>
    </row>
    <row r="15" customFormat="false" ht="15" hidden="false" customHeight="false" outlineLevel="0" collapsed="false">
      <c r="A15" s="0" t="s">
        <v>16</v>
      </c>
      <c r="B15" s="3" t="n">
        <v>4314.84</v>
      </c>
    </row>
    <row r="16" customFormat="false" ht="15" hidden="false" customHeight="false" outlineLevel="0" collapsed="false">
      <c r="A16" s="0" t="s">
        <v>17</v>
      </c>
      <c r="B16" s="3" t="n">
        <v>1256.04</v>
      </c>
    </row>
    <row r="17" customFormat="false" ht="15" hidden="false" customHeight="false" outlineLevel="0" collapsed="false">
      <c r="A17" s="0" t="s">
        <v>18</v>
      </c>
      <c r="B17" s="3" t="n">
        <v>274.73</v>
      </c>
    </row>
    <row r="18" customFormat="false" ht="15" hidden="false" customHeight="false" outlineLevel="0" collapsed="false">
      <c r="A18" s="0" t="s">
        <v>19</v>
      </c>
      <c r="B18" s="3" t="n">
        <v>8659.28</v>
      </c>
    </row>
    <row r="19" customFormat="false" ht="15" hidden="false" customHeight="false" outlineLevel="0" collapsed="false">
      <c r="A19" s="0" t="s">
        <v>20</v>
      </c>
      <c r="B19" s="3" t="n">
        <v>507.21</v>
      </c>
    </row>
    <row r="20" customFormat="false" ht="15" hidden="false" customHeight="false" outlineLevel="0" collapsed="false">
      <c r="A20" s="0" t="s">
        <v>21</v>
      </c>
      <c r="B20" s="3" t="n">
        <f aca="false">802.21+9104.75</f>
        <v>9906.96</v>
      </c>
    </row>
    <row r="21" customFormat="false" ht="15" hidden="false" customHeight="false" outlineLevel="0" collapsed="false">
      <c r="A21" s="0" t="s">
        <v>22</v>
      </c>
      <c r="B21" s="3" t="n">
        <v>329.85</v>
      </c>
    </row>
    <row r="22" customFormat="false" ht="15" hidden="false" customHeight="false" outlineLevel="0" collapsed="false">
      <c r="A22" s="0" t="s">
        <v>23</v>
      </c>
      <c r="B22" s="3" t="n">
        <v>23.94</v>
      </c>
    </row>
    <row r="23" customFormat="false" ht="15" hidden="false" customHeight="false" outlineLevel="0" collapsed="false">
      <c r="A23" s="0" t="s">
        <v>24</v>
      </c>
      <c r="B23" s="3" t="n">
        <f aca="false">683.47+6807.21</f>
        <v>7490.68</v>
      </c>
    </row>
    <row r="24" customFormat="false" ht="15" hidden="false" customHeight="false" outlineLevel="0" collapsed="false">
      <c r="A24" s="0" t="s">
        <v>25</v>
      </c>
      <c r="B24" s="3" t="n">
        <v>55.74</v>
      </c>
    </row>
    <row r="25" customFormat="false" ht="15" hidden="false" customHeight="false" outlineLevel="0" collapsed="false">
      <c r="A25" s="0" t="s">
        <v>26</v>
      </c>
      <c r="B25" s="3" t="n">
        <v>18.98</v>
      </c>
    </row>
    <row r="26" customFormat="false" ht="15" hidden="false" customHeight="false" outlineLevel="0" collapsed="false">
      <c r="A26" s="0" t="s">
        <v>27</v>
      </c>
      <c r="B26" s="3" t="n">
        <v>1771.29</v>
      </c>
    </row>
    <row r="27" customFormat="false" ht="15" hidden="false" customHeight="false" outlineLevel="0" collapsed="false">
      <c r="A27" s="0" t="s">
        <v>28</v>
      </c>
      <c r="B27" s="3" t="n">
        <v>290.46</v>
      </c>
    </row>
    <row r="28" customFormat="false" ht="15" hidden="false" customHeight="false" outlineLevel="0" collapsed="false">
      <c r="A28" s="0" t="s">
        <v>29</v>
      </c>
      <c r="B28" s="3" t="n">
        <v>214.76</v>
      </c>
    </row>
    <row r="29" customFormat="false" ht="15" hidden="false" customHeight="false" outlineLevel="0" collapsed="false">
      <c r="A29" s="0" t="s">
        <v>30</v>
      </c>
      <c r="B29" s="3" t="n">
        <v>57.49</v>
      </c>
    </row>
    <row r="30" customFormat="false" ht="15" hidden="false" customHeight="false" outlineLevel="0" collapsed="false">
      <c r="A30" s="0" t="s">
        <v>31</v>
      </c>
      <c r="B30" s="3" t="n">
        <v>466.81</v>
      </c>
    </row>
    <row r="31" customFormat="false" ht="15" hidden="false" customHeight="false" outlineLevel="0" collapsed="false">
      <c r="A31" s="0" t="s">
        <v>32</v>
      </c>
      <c r="B31" s="3" t="n">
        <v>479.81</v>
      </c>
    </row>
    <row r="32" customFormat="false" ht="15" hidden="false" customHeight="false" outlineLevel="0" collapsed="false">
      <c r="A32" s="0" t="s">
        <v>33</v>
      </c>
      <c r="B32" s="3" t="n">
        <v>752</v>
      </c>
    </row>
    <row r="33" customFormat="false" ht="15" hidden="false" customHeight="false" outlineLevel="0" collapsed="false">
      <c r="A33" s="0" t="s">
        <v>34</v>
      </c>
      <c r="B33" s="3" t="n">
        <v>219.7</v>
      </c>
    </row>
    <row r="34" customFormat="false" ht="15" hidden="false" customHeight="false" outlineLevel="0" collapsed="false">
      <c r="A34" s="0" t="s">
        <v>35</v>
      </c>
      <c r="B34" s="3" t="n">
        <v>861.61</v>
      </c>
    </row>
    <row r="35" customFormat="false" ht="15" hidden="false" customHeight="false" outlineLevel="0" collapsed="false">
      <c r="A35" s="0" t="s">
        <v>36</v>
      </c>
      <c r="B35" s="3" t="n">
        <v>13904.66</v>
      </c>
    </row>
    <row r="36" customFormat="false" ht="15" hidden="false" customHeight="false" outlineLevel="0" collapsed="false">
      <c r="A36" s="0" t="s">
        <v>37</v>
      </c>
      <c r="B36" s="3" t="n">
        <f aca="false">1392.19+8663.78+1357.6</f>
        <v>11413.57</v>
      </c>
    </row>
    <row r="37" customFormat="false" ht="15" hidden="false" customHeight="false" outlineLevel="0" collapsed="false">
      <c r="A37" s="0" t="s">
        <v>38</v>
      </c>
      <c r="B37" s="3" t="n">
        <v>4595.99</v>
      </c>
    </row>
    <row r="38" customFormat="false" ht="15" hidden="false" customHeight="false" outlineLevel="0" collapsed="false">
      <c r="A38" s="0" t="s">
        <v>39</v>
      </c>
      <c r="B38" s="3" t="n">
        <v>269.65</v>
      </c>
    </row>
    <row r="39" customFormat="false" ht="15" hidden="false" customHeight="false" outlineLevel="0" collapsed="false">
      <c r="A39" s="0" t="s">
        <v>40</v>
      </c>
      <c r="B39" s="3" t="n">
        <v>438.99</v>
      </c>
    </row>
    <row r="40" customFormat="false" ht="15" hidden="false" customHeight="false" outlineLevel="0" collapsed="false">
      <c r="A40" s="0" t="s">
        <v>41</v>
      </c>
      <c r="B40" s="3" t="n">
        <v>199</v>
      </c>
    </row>
    <row r="41" customFormat="false" ht="15" hidden="false" customHeight="false" outlineLevel="0" collapsed="false">
      <c r="A41" s="0" t="s">
        <v>42</v>
      </c>
      <c r="B41" s="3" t="n">
        <v>104.7</v>
      </c>
    </row>
    <row r="42" customFormat="false" ht="15" hidden="false" customHeight="false" outlineLevel="0" collapsed="false">
      <c r="A42" s="0" t="s">
        <v>43</v>
      </c>
      <c r="B42" s="3" t="n">
        <v>71.8</v>
      </c>
    </row>
    <row r="43" customFormat="false" ht="15" hidden="false" customHeight="false" outlineLevel="0" collapsed="false">
      <c r="A43" s="0" t="s">
        <v>44</v>
      </c>
      <c r="B43" s="3" t="n">
        <v>3826.54</v>
      </c>
    </row>
    <row r="44" customFormat="false" ht="15" hidden="false" customHeight="false" outlineLevel="0" collapsed="false">
      <c r="A44" s="0" t="s">
        <v>45</v>
      </c>
      <c r="B44" s="3" t="n">
        <v>49.8</v>
      </c>
    </row>
    <row r="45" customFormat="false" ht="15" hidden="false" customHeight="false" outlineLevel="0" collapsed="false">
      <c r="A45" s="0" t="s">
        <v>46</v>
      </c>
      <c r="B45" s="3" t="n">
        <v>420.75</v>
      </c>
    </row>
    <row r="46" customFormat="false" ht="15" hidden="false" customHeight="false" outlineLevel="0" collapsed="false">
      <c r="A46" s="0" t="s">
        <v>47</v>
      </c>
      <c r="B46" s="3" t="n">
        <v>451.4</v>
      </c>
    </row>
    <row r="47" customFormat="false" ht="15" hidden="false" customHeight="false" outlineLevel="0" collapsed="false">
      <c r="A47" s="0" t="s">
        <v>48</v>
      </c>
      <c r="B47" s="3" t="n">
        <v>904.35</v>
      </c>
    </row>
    <row r="48" customFormat="false" ht="15" hidden="false" customHeight="false" outlineLevel="0" collapsed="false">
      <c r="A48" s="0" t="s">
        <v>49</v>
      </c>
      <c r="B48" s="3" t="n">
        <v>739.66</v>
      </c>
    </row>
    <row r="49" customFormat="false" ht="15" hidden="false" customHeight="false" outlineLevel="0" collapsed="false">
      <c r="A49" s="0" t="s">
        <v>50</v>
      </c>
      <c r="B49" s="3" t="n">
        <v>207.06</v>
      </c>
    </row>
    <row r="50" customFormat="false" ht="15" hidden="false" customHeight="false" outlineLevel="0" collapsed="false">
      <c r="A50" s="0" t="s">
        <v>51</v>
      </c>
      <c r="B50" s="3" t="n">
        <v>379.8</v>
      </c>
    </row>
    <row r="51" customFormat="false" ht="15" hidden="false" customHeight="false" outlineLevel="0" collapsed="false">
      <c r="A51" s="0" t="s">
        <v>52</v>
      </c>
      <c r="B51" s="3" t="n">
        <v>55.6</v>
      </c>
    </row>
    <row r="52" customFormat="false" ht="15" hidden="false" customHeight="false" outlineLevel="0" collapsed="false">
      <c r="A52" s="0" t="s">
        <v>53</v>
      </c>
      <c r="B52" s="3" t="n">
        <v>712.47</v>
      </c>
    </row>
    <row r="53" customFormat="false" ht="15" hidden="false" customHeight="false" outlineLevel="0" collapsed="false">
      <c r="A53" s="0" t="s">
        <v>54</v>
      </c>
      <c r="B53" s="3" t="n">
        <v>2537.02</v>
      </c>
    </row>
    <row r="54" customFormat="false" ht="15" hidden="false" customHeight="false" outlineLevel="0" collapsed="false">
      <c r="A54" s="0" t="s">
        <v>55</v>
      </c>
      <c r="B54" s="3" t="n">
        <f aca="false">SUM(B11:B53)</f>
        <v>95046.21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2026-10-18T19:46:34Z</dcterms:created>
  <dc:creator>openpyxl</dc:creator>
  <dc:description/>
  <dc:language>en-US</dc:language>
  <cp:lastModifiedBy/>
  <dcterms:modified xsi:type="dcterms:W3CDTF">2026-10-20T16:51:08Z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