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<sst xmlns="http://schemas.openxmlformats.org/spreadsheetml/2006/main" count="32" uniqueCount="31">
  <si>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Produtos mais Vendidos</t>
  </si>
  <si>
    <t xml:space="preserve">Filtros</t>
  </si>
  <si>
    <t xml:space="preserve">Períodos</t>
  </si>
  <si>
    <t xml:space="preserve">01/10/2026 a 18/10/2026</t>
  </si>
  <si>
    <t xml:space="preserve">Agrupado por categoria</t>
  </si>
  <si>
    <t xml:space="preserve">Sim</t>
  </si>
  <si>
    <t xml:space="preserve">Exibir valores com impostos</t>
  </si>
  <si>
    <t xml:space="preserve">Não</t>
  </si>
  <si>
    <t xml:space="preserve">Vendas do usuário</t>
  </si>
  <si>
    <t xml:space="preserve">Ingrid</t>
  </si>
  <si>
    <t xml:space="preserve">Categorias e Produtos</t>
  </si>
  <si>
    <t xml:space="preserve">Valor vendido</t>
  </si>
  <si>
    <t xml:space="preserve">[Categoria] AMANCO</t>
  </si>
  <si>
    <t xml:space="preserve">[Categoria] ATCO</t>
  </si>
  <si>
    <t xml:space="preserve">[Categoria] ATLAS</t>
  </si>
  <si>
    <t xml:space="preserve">[Categoria] CORTAG</t>
  </si>
  <si>
    <t xml:space="preserve">[Categoria] ENERBRAS</t>
  </si>
  <si>
    <t xml:space="preserve">[Categoria] ILUMI</t>
  </si>
  <si>
    <t xml:space="preserve">[Categoria] IRWIN</t>
  </si>
  <si>
    <t xml:space="preserve">[Categoria] LIXAFLEX</t>
  </si>
  <si>
    <t xml:space="preserve">[Categoria] MAR-GIRIUS</t>
  </si>
  <si>
    <t xml:space="preserve">[Categoria] MULTILIT</t>
  </si>
  <si>
    <t xml:space="preserve">[Categoria] PHILIPS</t>
  </si>
  <si>
    <t xml:space="preserve">[Categoria] PILA</t>
  </si>
  <si>
    <t xml:space="preserve">[Categoria] QUARTZOLIT</t>
  </si>
  <si>
    <t xml:space="preserve">[Categoria] RAJIX</t>
  </si>
  <si>
    <t xml:space="preserve">[Categoria] SOPRANO</t>
  </si>
  <si>
    <t xml:space="preserve">[Categoria] TEK BOND</t>
  </si>
  <si>
    <t xml:space="preserve">[Categoria] WAGO</t>
  </si>
  <si>
    <t xml:space="preserve">[Categoria] ZAGONEL</t>
  </si>
  <si>
    <t xml:space="preserve">Total geral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</si>
</sst>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</row>
    <row r="3" customFormat="false" ht="15" hidden="false" customHeight="true" outlineLevel="0" collapsed="false">
      <c r="A3" s="1" t="s">
        <v>1</v>
      </c>
    </row>
    <row r="4" customFormat="false" ht="15" hidden="false" customHeight="true" outlineLevel="0" collapsed="false">
      <c r="A4" s="2" t="s">
        <v>2</v>
      </c>
      <c r="B4" s="2" t="s">
        <v>3</v>
      </c>
    </row>
    <row r="5" customFormat="false" ht="15" hidden="false" customHeight="true" outlineLevel="0" collapsed="false">
      <c r="A5" s="2" t="s">
        <v>4</v>
      </c>
      <c r="B5" s="2" t="s">
        <v>5</v>
      </c>
    </row>
    <row r="6" customFormat="false" ht="15" hidden="false" customHeight="true" outlineLevel="0" collapsed="false">
      <c r="A6" s="2" t="s">
        <v>6</v>
      </c>
      <c r="B6" s="2" t="s">
        <v>7</v>
      </c>
    </row>
    <row r="7" customFormat="false" ht="15" hidden="false" customHeight="true" outlineLevel="0" collapsed="false">
      <c r="A7" s="2" t="s">
        <v>8</v>
      </c>
      <c r="B7" s="2" t="s">
        <v>9</v>
      </c>
    </row>
    <row r="9" customFormat="false" ht="15" hidden="false" customHeight="true" outlineLevel="0" collapsed="false">
      <c r="B9" s="3" t="s">
        <v>3</v>
      </c>
    </row>
    <row r="10" customFormat="false" ht="15" hidden="false" customHeight="true" outlineLevel="0" collapsed="false">
      <c r="A10" s="1" t="s">
        <v>10</v>
      </c>
      <c r="B10" s="1" t="s">
        <v>11</v>
      </c>
    </row>
    <row r="11" customFormat="false" ht="15" hidden="false" customHeight="true" outlineLevel="0" collapsed="false">
      <c r="A11" s="2" t="s">
        <v>12</v>
      </c>
      <c r="B11" s="4" t="n">
        <f aca="false">963.44+1677.14</f>
        <v>2640.58</v>
      </c>
    </row>
    <row r="12" customFormat="false" ht="15" hidden="false" customHeight="true" outlineLevel="0" collapsed="false">
      <c r="A12" s="2" t="s">
        <v>13</v>
      </c>
      <c r="B12" s="4" t="n">
        <v>92.9</v>
      </c>
    </row>
    <row r="13" customFormat="false" ht="15" hidden="false" customHeight="true" outlineLevel="0" collapsed="false">
      <c r="A13" s="2" t="s">
        <v>14</v>
      </c>
      <c r="B13" s="4" t="n">
        <v>307.35</v>
      </c>
    </row>
    <row r="14" customFormat="false" ht="15" hidden="false" customHeight="true" outlineLevel="0" collapsed="false">
      <c r="A14" s="2" t="s">
        <v>15</v>
      </c>
      <c r="B14" s="4" t="n">
        <f aca="false">1327.07+9971.62</f>
        <v>11298.69</v>
      </c>
    </row>
    <row r="15" customFormat="false" ht="15" hidden="false" customHeight="true" outlineLevel="0" collapsed="false">
      <c r="A15" s="2" t="s">
        <v>16</v>
      </c>
      <c r="B15" s="4" t="n">
        <f aca="false">279.79+1180.52</f>
        <v>1460.31</v>
      </c>
    </row>
    <row r="16" customFormat="false" ht="15" hidden="false" customHeight="true" outlineLevel="0" collapsed="false">
      <c r="A16" s="2" t="s">
        <v>17</v>
      </c>
      <c r="B16" s="4" t="n">
        <v>621.37</v>
      </c>
    </row>
    <row r="17" customFormat="false" ht="15" hidden="false" customHeight="true" outlineLevel="0" collapsed="false">
      <c r="A17" s="2" t="s">
        <v>18</v>
      </c>
      <c r="B17" s="4" t="n">
        <v>803.68</v>
      </c>
    </row>
    <row r="18" customFormat="false" ht="15" hidden="false" customHeight="true" outlineLevel="0" collapsed="false">
      <c r="A18" s="2" t="s">
        <v>19</v>
      </c>
      <c r="B18" s="4" t="n">
        <v>83.85</v>
      </c>
    </row>
    <row r="19" customFormat="false" ht="15" hidden="false" customHeight="true" outlineLevel="0" collapsed="false">
      <c r="A19" s="2" t="s">
        <v>20</v>
      </c>
      <c r="B19" s="4" t="n">
        <v>932.47</v>
      </c>
    </row>
    <row r="20" customFormat="false" ht="15" hidden="false" customHeight="true" outlineLevel="0" collapsed="false">
      <c r="A20" s="2" t="s">
        <v>21</v>
      </c>
      <c r="B20" s="4" t="n">
        <f aca="false">549.97+3813.19</f>
        <v>4363.16</v>
      </c>
    </row>
    <row r="21" customFormat="false" ht="15" hidden="false" customHeight="true" outlineLevel="0" collapsed="false">
      <c r="A21" s="2" t="s">
        <v>22</v>
      </c>
      <c r="B21" s="4" t="n">
        <v>4973.1</v>
      </c>
    </row>
    <row r="22" customFormat="false" ht="15" hidden="false" customHeight="true" outlineLevel="0" collapsed="false">
      <c r="A22" s="2" t="s">
        <v>23</v>
      </c>
      <c r="B22" s="4" t="n">
        <v>18118.6</v>
      </c>
    </row>
    <row r="23" customFormat="false" ht="15" hidden="false" customHeight="true" outlineLevel="0" collapsed="false">
      <c r="A23" s="2" t="s">
        <v>24</v>
      </c>
      <c r="B23" s="4" t="n">
        <v>49.99</v>
      </c>
    </row>
    <row r="24" customFormat="false" ht="15" hidden="false" customHeight="true" outlineLevel="0" collapsed="false">
      <c r="A24" s="2" t="s">
        <v>25</v>
      </c>
      <c r="B24" s="4" t="n">
        <v>3627.82</v>
      </c>
    </row>
    <row r="25" customFormat="false" ht="15" hidden="false" customHeight="true" outlineLevel="0" collapsed="false">
      <c r="A25" s="2" t="s">
        <v>26</v>
      </c>
      <c r="B25" s="4" t="n">
        <v>267.16</v>
      </c>
    </row>
    <row r="26" customFormat="false" ht="15" hidden="false" customHeight="true" outlineLevel="0" collapsed="false">
      <c r="A26" s="2" t="s">
        <v>27</v>
      </c>
      <c r="B26" s="4" t="n">
        <v>676.17</v>
      </c>
    </row>
    <row r="27" customFormat="false" ht="15" hidden="false" customHeight="true" outlineLevel="0" collapsed="false">
      <c r="A27" s="2" t="s">
        <v>28</v>
      </c>
      <c r="B27" s="4" t="n">
        <v>4215.55</v>
      </c>
    </row>
    <row r="28" customFormat="false" ht="15" hidden="false" customHeight="true" outlineLevel="0" collapsed="false">
      <c r="A28" s="2" t="s">
        <v>29</v>
      </c>
      <c r="B28" s="4" t="n">
        <v>3595.52</v>
      </c>
    </row>
    <row r="29" customFormat="false" ht="15" hidden="false" customHeight="true" outlineLevel="0" collapsed="false">
      <c r="A29" s="2" t="s">
        <v>30</v>
      </c>
      <c r="B29" s="4" t="n">
        <f aca="false">SUM(B11:B28)</f>
        <v>58128.27</v>
      </c>
    </row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2026-10-18T19:48:00Z</dcterms:created>
  <dc:creator>openpyxl</dc:creator>
  <dc:description/>
  <dc:language>en-US</dc:language>
  <cp:lastModifiedBy/>
  <dcterms:modified xsi:type="dcterms:W3CDTF">2026-10-20T19:08:51Z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