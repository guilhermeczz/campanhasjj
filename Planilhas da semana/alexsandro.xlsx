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<sst xmlns="http://schemas.openxmlformats.org/spreadsheetml/2006/main" count="31" uniqueCount="30">
  <si>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Produtos mais Vendidos</t>
  </si>
  <si>
    <t xml:space="preserve">Filtros</t>
  </si>
  <si>
    <t xml:space="preserve">Períodos</t>
  </si>
  <si>
    <t xml:space="preserve">01/10/2026 a 18/10/2026</t>
  </si>
  <si>
    <t xml:space="preserve">Agrupado por categoria</t>
  </si>
  <si>
    <t xml:space="preserve">Sim</t>
  </si>
  <si>
    <t xml:space="preserve">Exibir valores com impostos</t>
  </si>
  <si>
    <t xml:space="preserve">Não</t>
  </si>
  <si>
    <t xml:space="preserve">Vendas do usuário</t>
  </si>
  <si>
    <t xml:space="preserve">ALEX SANDRO PEDRO DE ALMEIDA</t>
  </si>
  <si>
    <t xml:space="preserve">Categorias e Produtos</t>
  </si>
  <si>
    <t xml:space="preserve">Valor vendido</t>
  </si>
  <si>
    <t xml:space="preserve">[Categoria] 3M</t>
  </si>
  <si>
    <t xml:space="preserve">[Categoria] AMANCO</t>
  </si>
  <si>
    <t xml:space="preserve">[Categoria] ATLAS</t>
  </si>
  <si>
    <t xml:space="preserve">[Categoria] BRASCOLA</t>
  </si>
  <si>
    <t xml:space="preserve">[Categoria] CHEMICOLOR</t>
  </si>
  <si>
    <t xml:space="preserve">[Categoria] CORTAG</t>
  </si>
  <si>
    <t xml:space="preserve">[Categoria] ENERBRAS</t>
  </si>
  <si>
    <t xml:space="preserve">[Categoria] ILUMI</t>
  </si>
  <si>
    <t xml:space="preserve">[Categoria] IRWIN</t>
  </si>
  <si>
    <t xml:space="preserve">[Categoria] MAR-GIRIUS</t>
  </si>
  <si>
    <t xml:space="preserve">[Categoria] MAXI RUBBER</t>
  </si>
  <si>
    <t xml:space="preserve">[Categoria] OTTO</t>
  </si>
  <si>
    <t xml:space="preserve">[Categoria] OUTLET</t>
  </si>
  <si>
    <t xml:space="preserve">[Categoria] RAJIX</t>
  </si>
  <si>
    <t xml:space="preserve">[Categoria] STARRET</t>
  </si>
  <si>
    <t xml:space="preserve">[Categoria] TATU LIXAS</t>
  </si>
  <si>
    <t xml:space="preserve">[Categoria] WAGO</t>
  </si>
  <si>
    <t xml:space="preserve">Total geral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</si>
</sst>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6" customFormat="false" ht="15" hidden="false" customHeight="false" outlineLevel="0" collapsed="false">
      <c r="A6" s="0" t="s">
        <v>6</v>
      </c>
      <c r="B6" s="0" t="s">
        <v>7</v>
      </c>
    </row>
    <row r="7" customFormat="false" ht="15" hidden="false" customHeight="false" outlineLevel="0" collapsed="false">
      <c r="A7" s="0" t="s">
        <v>8</v>
      </c>
      <c r="B7" s="0" t="s">
        <v>9</v>
      </c>
    </row>
    <row r="9" customFormat="false" ht="15" hidden="false" customHeight="false" outlineLevel="0" collapsed="false">
      <c r="B9" s="2" t="s">
        <v>3</v>
      </c>
    </row>
    <row r="10" customFormat="false" ht="15" hidden="false" customHeight="false" outlineLevel="0" collapsed="false">
      <c r="A10" s="1" t="s">
        <v>10</v>
      </c>
      <c r="B10" s="1" t="s">
        <v>11</v>
      </c>
    </row>
    <row r="11" customFormat="false" ht="15" hidden="false" customHeight="false" outlineLevel="0" collapsed="false">
      <c r="A11" s="0" t="s">
        <v>12</v>
      </c>
      <c r="B11" s="3" t="n">
        <v>326.7</v>
      </c>
    </row>
    <row r="12" customFormat="false" ht="15" hidden="false" customHeight="false" outlineLevel="0" collapsed="false">
      <c r="A12" s="0" t="s">
        <v>13</v>
      </c>
      <c r="B12" s="3" t="n">
        <f aca="false">1926.14+4859.91</f>
        <v>6786.05</v>
      </c>
    </row>
    <row r="13" customFormat="false" ht="15" hidden="false" customHeight="false" outlineLevel="0" collapsed="false">
      <c r="A13" s="0" t="s">
        <v>14</v>
      </c>
      <c r="B13" s="3" t="n">
        <v>1127.28</v>
      </c>
    </row>
    <row r="14" customFormat="false" ht="15" hidden="false" customHeight="false" outlineLevel="0" collapsed="false">
      <c r="A14" s="0" t="s">
        <v>15</v>
      </c>
      <c r="B14" s="3" t="n">
        <v>239.76</v>
      </c>
    </row>
    <row r="15" customFormat="false" ht="15" hidden="false" customHeight="false" outlineLevel="0" collapsed="false">
      <c r="A15" s="0" t="s">
        <v>16</v>
      </c>
      <c r="B15" s="3" t="n">
        <v>155.88</v>
      </c>
    </row>
    <row r="16" customFormat="false" ht="15" hidden="false" customHeight="false" outlineLevel="0" collapsed="false">
      <c r="A16" s="0" t="s">
        <v>17</v>
      </c>
      <c r="B16" s="3" t="n">
        <f aca="false">394.2+4011.87</f>
        <v>4406.07</v>
      </c>
    </row>
    <row r="17" customFormat="false" ht="15" hidden="false" customHeight="false" outlineLevel="0" collapsed="false">
      <c r="A17" s="0" t="s">
        <v>18</v>
      </c>
      <c r="B17" s="3" t="n">
        <f aca="false">39.8+46.9</f>
        <v>86.7</v>
      </c>
    </row>
    <row r="18" customFormat="false" ht="15" hidden="false" customHeight="false" outlineLevel="0" collapsed="false">
      <c r="A18" s="0" t="s">
        <v>19</v>
      </c>
      <c r="B18" s="3" t="n">
        <v>158.9</v>
      </c>
    </row>
    <row r="19" customFormat="false" ht="15" hidden="false" customHeight="false" outlineLevel="0" collapsed="false">
      <c r="A19" s="0" t="s">
        <v>20</v>
      </c>
      <c r="B19" s="3" t="n">
        <v>447.66</v>
      </c>
    </row>
    <row r="20" customFormat="false" ht="15" hidden="false" customHeight="false" outlineLevel="0" collapsed="false">
      <c r="A20" s="0" t="s">
        <v>21</v>
      </c>
      <c r="B20" s="3" t="n">
        <v>476.23</v>
      </c>
    </row>
    <row r="21" customFormat="false" ht="15" hidden="false" customHeight="false" outlineLevel="0" collapsed="false">
      <c r="A21" s="0" t="s">
        <v>22</v>
      </c>
      <c r="B21" s="3" t="n">
        <v>26.9</v>
      </c>
    </row>
    <row r="22" customFormat="false" ht="15" hidden="false" customHeight="false" outlineLevel="0" collapsed="false">
      <c r="A22" s="0" t="s">
        <v>23</v>
      </c>
      <c r="B22" s="3" t="n">
        <v>3295.65</v>
      </c>
    </row>
    <row r="23" customFormat="false" ht="15" hidden="false" customHeight="false" outlineLevel="0" collapsed="false">
      <c r="A23" s="0" t="s">
        <v>24</v>
      </c>
      <c r="B23" s="3" t="n">
        <v>89.7</v>
      </c>
    </row>
    <row r="24" customFormat="false" ht="15" hidden="false" customHeight="false" outlineLevel="0" collapsed="false">
      <c r="A24" s="0" t="s">
        <v>25</v>
      </c>
      <c r="B24" s="3" t="n">
        <v>250.5</v>
      </c>
    </row>
    <row r="25" customFormat="false" ht="15" hidden="false" customHeight="false" outlineLevel="0" collapsed="false">
      <c r="A25" s="0" t="s">
        <v>26</v>
      </c>
      <c r="B25" s="3" t="n">
        <v>116.9</v>
      </c>
    </row>
    <row r="26" customFormat="false" ht="15" hidden="false" customHeight="false" outlineLevel="0" collapsed="false">
      <c r="A26" s="0" t="s">
        <v>27</v>
      </c>
      <c r="B26" s="3" t="n">
        <v>238</v>
      </c>
    </row>
    <row r="27" customFormat="false" ht="15" hidden="false" customHeight="false" outlineLevel="0" collapsed="false">
      <c r="A27" s="0" t="s">
        <v>28</v>
      </c>
      <c r="B27" s="3" t="n">
        <v>139.45</v>
      </c>
    </row>
    <row r="28" customFormat="false" ht="15" hidden="false" customHeight="false" outlineLevel="0" collapsed="false">
      <c r="A28" s="0" t="s">
        <v>29</v>
      </c>
      <c r="B28" s="3" t="n">
        <f aca="false">SUM(B11:B27)</f>
        <v>18368.33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2026-10-18T19:46:06Z</dcterms:created>
  <dc:creator>openpyxl</dc:creator>
  <dc:description/>
  <dc:language>en-US</dc:language>
  <cp:lastModifiedBy/>
  <dcterms:modified xsi:type="dcterms:W3CDTF">2026-10-20T16:51:08Z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